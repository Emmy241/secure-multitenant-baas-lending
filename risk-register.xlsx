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Legend" sheetId="2" state="visible" r:id="rId4"/>
  </sheets>
  <definedNames>
    <definedName function="false" hidden="true" localSheetId="0" name="_xlnm._FilterDatabase" vbProcedure="false">'Risk Register'!$A$1:$S$20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<sst xmlns="http://schemas.openxmlformats.org/spreadsheetml/2006/main" count="237" uniqueCount="167">
  <si>
    <t xml:space="preserve">ID</t>
  </si>
  <si>
    <t xml:space="preserve">Risk description</t>
  </si>
  <si>
    <t xml:space="preserve">Class</t>
  </si>
  <si>
    <t xml:space="preserve">Trust
boundary</t>
  </si>
  <si>
    <t xml:space="preserve">C</t>
  </si>
  <si>
    <t xml:space="preserve">I</t>
  </si>
  <si>
    <t xml:space="preserve">A</t>
  </si>
  <si>
    <t xml:space="preserve">Inh.
Likeli-
hood</t>
  </si>
  <si>
    <t xml:space="preserve">Inh.
Impact</t>
  </si>
  <si>
    <t xml:space="preserve">Inherent
Score</t>
  </si>
  <si>
    <t xml:space="preserve">Inherent
Band</t>
  </si>
  <si>
    <t xml:space="preserve">Key control(s)</t>
  </si>
  <si>
    <t xml:space="preserve">Res.
Likeli-
hood</t>
  </si>
  <si>
    <t xml:space="preserve">Res.
Impact</t>
  </si>
  <si>
    <t xml:space="preserve">Residual
Score</t>
  </si>
  <si>
    <t xml:space="preserve">Residual
Band</t>
  </si>
  <si>
    <t xml:space="preserve">Risk
reduction</t>
  </si>
  <si>
    <t xml:space="preserve">Owner</t>
  </si>
  <si>
    <t xml:space="preserve">Ref</t>
  </si>
  <si>
    <t xml:space="preserve">TI-01</t>
  </si>
  <si>
    <t xml:space="preserve">RLS bypassed: app connects as owner/BYPASSRLS role, or tenant_id is client-supplied -&gt; cross-fintech access to accounts/balances</t>
  </si>
  <si>
    <t xml:space="preserve">Tenant isolation</t>
  </si>
  <si>
    <t xml:space="preserve">TB-2</t>
  </si>
  <si>
    <t xml:space="preserve">X</t>
  </si>
  <si>
    <t xml:space="preserve">Non-privileged connection role + FORCE RLS + trusted per-tx tenant claim + CI role check</t>
  </si>
  <si>
    <t xml:space="preserve">Platform Engineering</t>
  </si>
  <si>
    <t xml:space="preserve">control-map TI-01</t>
  </si>
  <si>
    <t xml:space="preserve">TI-03</t>
  </si>
  <si>
    <t xml:space="preserve">Co-location blast radius: multiple fintechs' isolation boundaries share one failure domain</t>
  </si>
  <si>
    <t xml:space="preserve">TB-4</t>
  </si>
  <si>
    <t xml:space="preserve">Separate fintechs/trust levels onto separate compute; if co-located, accept explicitly + compensating monitoring</t>
  </si>
  <si>
    <t xml:space="preserve">Leadership</t>
  </si>
  <si>
    <t xml:space="preserve">control-map TI-03</t>
  </si>
  <si>
    <t xml:space="preserve">TI-04</t>
  </si>
  <si>
    <t xml:space="preserve">Object-storage cross-fintech access to KYC documents via path/pre-signed-URL scoping error</t>
  </si>
  <si>
    <t xml:space="preserve">Tenant-scoped prefixes; single-object signed URLs, short TTL; deny-by-default bucket policy</t>
  </si>
  <si>
    <t xml:space="preserve">control-map TI-04</t>
  </si>
  <si>
    <t xml:space="preserve">TI-05</t>
  </si>
  <si>
    <t xml:space="preserve">Cache serves another fintech's data (unauthenticated or un-namespaced)</t>
  </si>
  <si>
    <t xml:space="preserve">Require cache auth; namespace keys by tenant_id; never share cross-fintech keys</t>
  </si>
  <si>
    <t xml:space="preserve">control-map TI-05</t>
  </si>
  <si>
    <t xml:space="preserve">TI-06</t>
  </si>
  <si>
    <t xml:space="preserve">Forged or replayed webhook events (incl. payment-network webhooks faking a settlement)</t>
  </si>
  <si>
    <t xml:space="preserve">Integrity</t>
  </si>
  <si>
    <t xml:space="preserve">TB-1</t>
  </si>
  <si>
    <t xml:space="preserve">Verify signature on every event; replay window + idempotency keys (critical for payment webhooks)</t>
  </si>
  <si>
    <t xml:space="preserve">control-map TI-06</t>
  </si>
  <si>
    <t xml:space="preserve">AI-01</t>
  </si>
  <si>
    <t xml:space="preserve">Direct prompt injection overrides system instructions</t>
  </si>
  <si>
    <t xml:space="preserve">AI</t>
  </si>
  <si>
    <t xml:space="preserve">Treat customer input as data not instruction; least-privilege assistant; no secrets/other-customer data in context</t>
  </si>
  <si>
    <t xml:space="preserve">control-map AI-01</t>
  </si>
  <si>
    <t xml:space="preserve">AI-02</t>
  </si>
  <si>
    <t xml:space="preserve">Indirect / second-order injection via ingested content processed later</t>
  </si>
  <si>
    <t xml:space="preserve">TB-1/TB-6</t>
  </si>
  <si>
    <t xml:space="preserve">Data-not-instruction stance for retrieved content; sandbox output from actions (esp. money-movement path)</t>
  </si>
  <si>
    <t xml:space="preserve">control-map AI-02</t>
  </si>
  <si>
    <t xml:space="preserve">AI-03</t>
  </si>
  <si>
    <t xml:space="preserve">Financial-/cardholder-data exfiltration across the third-party LLM boundary</t>
  </si>
  <si>
    <t xml:space="preserve">AI / financial-data</t>
  </si>
  <si>
    <t xml:space="preserve">TB-3</t>
  </si>
  <si>
    <t xml:space="preserve">PAN never sent to LLM (tokenize in PCI vault); minimise/redact other financial PII; processor terms + region pin; log what is sent</t>
  </si>
  <si>
    <t xml:space="preserve">DPO / Legal</t>
  </si>
  <si>
    <t xml:space="preserve">control-map AI-03</t>
  </si>
  <si>
    <t xml:space="preserve">AI-04</t>
  </si>
  <si>
    <t xml:space="preserve">Cross-fintech context bleed via shared vector store (missing tenant filter)</t>
  </si>
  <si>
    <t xml:space="preserve">AI / isolation</t>
  </si>
  <si>
    <t xml:space="preserve">Mandatory tenant_id filter at retrieval (wrapper-enforced); per-fintech namespaces; retrieval test</t>
  </si>
  <si>
    <t xml:space="preserve">control-map AI-04</t>
  </si>
  <si>
    <t xml:space="preserve">AI-05</t>
  </si>
  <si>
    <t xml:space="preserve">Agentic action -&gt; unauthorized money movement (theft) after injection</t>
  </si>
  <si>
    <t xml:space="preserve">AI / money movement</t>
  </si>
  <si>
    <t xml:space="preserve">TB-6</t>
  </si>
  <si>
    <t xml:space="preserve">LLM holds no money-movement capability; deterministic gate (maker-checker, limits, idempotency); out-of-band auth; SoD; anomaly detection</t>
  </si>
  <si>
    <t xml:space="preserve">control-map AI-05</t>
  </si>
  <si>
    <t xml:space="preserve">AI-06</t>
  </si>
  <si>
    <t xml:space="preserve">Token flood / cost DoS from unbounded generations</t>
  </si>
  <si>
    <t xml:space="preserve">AI / availability</t>
  </si>
  <si>
    <t xml:space="preserve">Per-tenant token budgets + rate limits upstream of model; spend-anomaly alert; fail-safe ceiling</t>
  </si>
  <si>
    <t xml:space="preserve">control-map AI-06</t>
  </si>
  <si>
    <t xml:space="preserve">AI-07</t>
  </si>
  <si>
    <t xml:space="preserve">System-prompt leakage / jailbreak weakens guardrails</t>
  </si>
  <si>
    <t xml:space="preserve">Assume prompt is public; keep nothing sensitive in it; never let prompt text guard money movement or screening</t>
  </si>
  <si>
    <t xml:space="preserve">Security</t>
  </si>
  <si>
    <t xml:space="preserve">control-map AI-07</t>
  </si>
  <si>
    <t xml:space="preserve">AI-08</t>
  </si>
  <si>
    <t xml:space="preserve">Unfair, biased, or unexplainable AI-assisted credit decision</t>
  </si>
  <si>
    <t xml:space="preserve">Decision integrity</t>
  </si>
  <si>
    <t xml:space="preserve">Human-in-the-loop credit decisions; adverse-action explainability; bias testing; assist-not-decide; Art.22 safeguards</t>
  </si>
  <si>
    <t xml:space="preserve">Compliance / Financial Crime</t>
  </si>
  <si>
    <t xml:space="preserve">control-map AI-08</t>
  </si>
  <si>
    <t xml:space="preserve">AI-09</t>
  </si>
  <si>
    <t xml:space="preserve">LLM trusted as control-of-record for KYC/AML -&gt; missed sanctions / suspicious activity</t>
  </si>
  <si>
    <t xml:space="preserve">Financial crime</t>
  </si>
  <si>
    <t xml:space="preserve">Deterministic screening stays system of record; LLM assists extraction/triage only; human review of alerts; audit</t>
  </si>
  <si>
    <t xml:space="preserve">control-map AI-09</t>
  </si>
  <si>
    <t xml:space="preserve">DET-01</t>
  </si>
  <si>
    <t xml:space="preserve">Root / privileged login outside break-glass</t>
  </si>
  <si>
    <t xml:space="preserve">Detection</t>
  </si>
  <si>
    <t xml:space="preserve">TB-5</t>
  </si>
  <si>
    <t xml:space="preserve">Metric filter on audit trail -&gt; alarm on root/privileged login; documented break-glass</t>
  </si>
  <si>
    <t xml:space="preserve">control-map DET-01</t>
  </si>
  <si>
    <t xml:space="preserve">DET-02</t>
  </si>
  <si>
    <t xml:space="preserve">Silent detection failure: metric filter pattern does not match log format</t>
  </si>
  <si>
    <t xml:space="preserve">Positively test filters vs real log sample; assert log format; scheduled canary; alert on log absence</t>
  </si>
  <si>
    <t xml:space="preserve">control-map DET-02</t>
  </si>
  <si>
    <t xml:space="preserve">DET-03</t>
  </si>
  <si>
    <t xml:space="preserve">Missing / inconsistent log forwarding -&gt; broken audit trail (SOX-relevant)</t>
  </si>
  <si>
    <t xml:space="preserve">TB-2/TB-6</t>
  </si>
  <si>
    <t xml:space="preserve">Forward all app logs in asserted format; alert on log-volume absence; treat audit trail as a financial record</t>
  </si>
  <si>
    <t xml:space="preserve">control-map DET-03</t>
  </si>
  <si>
    <t xml:space="preserve">DET-04</t>
  </si>
  <si>
    <t xml:space="preserve">IAM over-privilege enables app-compromise -&gt; infra escalation</t>
  </si>
  <si>
    <t xml:space="preserve">Posture</t>
  </si>
  <si>
    <t xml:space="preserve">Least-privilege policy scoped to needed actions; explicit region lock; periodic access review</t>
  </si>
  <si>
    <t xml:space="preserve">control-map DET-04</t>
  </si>
  <si>
    <t xml:space="preserve">DET-05</t>
  </si>
  <si>
    <t xml:space="preserve">No AI / money-movement detection (token spend, injection, cross-fintech retrieval, anomalous transfers)</t>
  </si>
  <si>
    <t xml:space="preserve">Signals for anomalous token spend, injection patterns, cross-fintech retrieval, and anomalous money movement</t>
  </si>
  <si>
    <t xml:space="preserve">control-map DET-05</t>
  </si>
  <si>
    <t xml:space="preserve">Risk Scoring Methodology</t>
  </si>
  <si>
    <t xml:space="preserve">Model</t>
  </si>
  <si>
    <t xml:space="preserve">Inherent Score = Likelihood x Impact (before controls). Residual Score = Likelihood x Impact re-scored after the mapped control(s). Both use 1-5 scales, so scores range 1-25.</t>
  </si>
  <si>
    <t xml:space="preserve">Likelihood (1-5)</t>
  </si>
  <si>
    <t xml:space="preserve">1 - Rare</t>
  </si>
  <si>
    <t xml:space="preserve">Would require an unlikely combination of failures.</t>
  </si>
  <si>
    <t xml:space="preserve">2 - Unlikely</t>
  </si>
  <si>
    <t xml:space="preserve">Possible but not expected in normal operation.</t>
  </si>
  <si>
    <t xml:space="preserve">3 - Possible</t>
  </si>
  <si>
    <t xml:space="preserve">Could occur; a plausible path exists.</t>
  </si>
  <si>
    <t xml:space="preserve">4 - Likely</t>
  </si>
  <si>
    <t xml:space="preserve">Expected to occur at some point without controls.</t>
  </si>
  <si>
    <t xml:space="preserve">5 - Almost certain</t>
  </si>
  <si>
    <t xml:space="preserve">Occurs routinely if unaddressed.</t>
  </si>
  <si>
    <t xml:space="preserve">Impact (1-5) — financial-services context</t>
  </si>
  <si>
    <t xml:space="preserve">1 - Negligible</t>
  </si>
  <si>
    <t xml:space="preserve">Minimal effect; no financial data or availability loss.</t>
  </si>
  <si>
    <t xml:space="preserve">2 - Minor</t>
  </si>
  <si>
    <t xml:space="preserve">Limited, contained effect.</t>
  </si>
  <si>
    <t xml:space="preserve">3 - Moderate</t>
  </si>
  <si>
    <t xml:space="preserve">Meaningful operational or limited data impact.</t>
  </si>
  <si>
    <t xml:space="preserve">4 - Major</t>
  </si>
  <si>
    <t xml:space="preserve">Cross-fintech exposure, reportable breach, or regulatory finding.</t>
  </si>
  <si>
    <t xml:space="preserve">5 - Severe</t>
  </si>
  <si>
    <t xml:space="preserve">Systemic breach, theft/irreversible loss of funds, or serious regulatory action.</t>
  </si>
  <si>
    <t xml:space="preserve">Score bands (Inherent &amp; Residual)</t>
  </si>
  <si>
    <t xml:space="preserve">Low (1-4)</t>
  </si>
  <si>
    <t xml:space="preserve">Accept / monitor.</t>
  </si>
  <si>
    <t xml:space="preserve">Medium (5-9)</t>
  </si>
  <si>
    <t xml:space="preserve">Treat on a normal cadence.</t>
  </si>
  <si>
    <t xml:space="preserve">High (10-15)</t>
  </si>
  <si>
    <t xml:space="preserve">Prioritise; track to closure.</t>
  </si>
  <si>
    <t xml:space="preserve">Critical (16-25)</t>
  </si>
  <si>
    <t xml:space="preserve">Immediate action; do not defer.</t>
  </si>
  <si>
    <t xml:space="preserve">CIA columns</t>
  </si>
  <si>
    <t xml:space="preserve">C / I / A</t>
  </si>
  <si>
    <t xml:space="preserve">An "X" marks which security property the risk threatens: Confidentiality, Integrity, Availability. (For money-movement and decision risks, Integrity carries the financial/decision-correctness impact.)</t>
  </si>
  <si>
    <t xml:space="preserve">Risk reduction</t>
  </si>
  <si>
    <t xml:space="preserve">Formula</t>
  </si>
  <si>
    <t xml:space="preserve">(Inherent - Residual) / Inherent. The proportion of inherent risk the mapped control removes. Never 100% - no control drives residual to zero; AI-03 (data boundary) and AI-05 (money movement) retain the highest residuals by design.</t>
  </si>
  <si>
    <t xml:space="preserve">Owner roles</t>
  </si>
  <si>
    <t xml:space="preserve">Self-authored / detection-design items (no production access required).</t>
  </si>
  <si>
    <t xml:space="preserve">Controls requiring production changes; executed by the systems owner.</t>
  </si>
  <si>
    <t xml:space="preserve">Data-protection and PCI/GLBA data-handling decisions (contracts, transfers, minimisation).</t>
  </si>
  <si>
    <t xml:space="preserve">AML/KYC, fair lending, credit decisioning, and money-movement governance.</t>
  </si>
  <si>
    <t xml:space="preserve">Accepted-risk / trade-off decisions (e.g. co-location cost).</t>
  </si>
  <si>
    <t xml:space="preserve">Draft - scores are illustrative for a fictional reference architecture. Not legal, regulatory, or financial advice. Validate impact bands and residuals against a real environment, and validate AI-03 (data boundary), AI-05 (money movement), AI-08 (fair lending) and AI-09 (AML/KYC) with compliance, financial-crime, and legal before treating as final.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</si>
</sst>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B4530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ECA3"/>
          <bgColor rgb="FF000000"/>
        </patternFill>
      </fill>
    </dxf>
    <dxf>
      <fill>
        <patternFill patternType="solid">
          <fgColor rgb="FFFFD3BE"/>
          <bgColor rgb="FF000000"/>
        </patternFill>
      </fill>
    </dxf>
    <dxf>
      <fill>
        <patternFill patternType="solid">
          <fgColor rgb="FFFFDEAE"/>
          <bgColor rgb="FF000000"/>
        </patternFill>
      </fill>
    </dxf>
    <dxf>
      <fill>
        <patternFill patternType="solid">
          <fgColor rgb="FFFFE5A5"/>
          <bgColor rgb="FF000000"/>
        </patternFill>
      </fill>
    </dxf>
    <dxf>
      <fill>
        <patternFill patternType="solid">
          <fgColor rgb="FFFFE99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4EEC2"/>
          <bgColor rgb="FF000000"/>
        </patternFill>
      </fill>
    </dxf>
    <dxf>
      <fill>
        <patternFill patternType="solid">
          <fgColor rgb="FFDBEEBC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E9EDA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  <sz val="9"/>
      </font>
      <fill>
        <patternFill>
          <bgColor rgb="FFFFCC99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B45309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747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7" min="5" style="0" width="4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44"/>
    <col collapsed="false" customWidth="true" hidden="false" outlineLevel="0" max="14" min="13" style="0" width="8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9"/>
    <col collapsed="false" customWidth="true" hidden="false" outlineLevel="0" max="19" min="19" style="0" width="15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32.8" hidden="false" customHeight="false" outlineLevel="0" collapsed="false">
      <c r="A2" s="2" t="s">
        <v>19</v>
      </c>
      <c r="B2" s="3" t="s">
        <v>20</v>
      </c>
      <c r="C2" s="3" t="s">
        <v>21</v>
      </c>
      <c r="D2" s="4" t="s">
        <v>22</v>
      </c>
      <c r="E2" s="4" t="s">
        <v>23</v>
      </c>
      <c r="F2" s="4" t="s">
        <v>23</v>
      </c>
      <c r="G2" s="4"/>
      <c r="H2" s="4" t="n">
        <v>3</v>
      </c>
      <c r="I2" s="4" t="n">
        <v>5</v>
      </c>
      <c r="J2" s="5" t="n">
        <f aca="false">H2*I2</f>
        <v>15</v>
      </c>
      <c r="K2" s="4" t="str">
        <f aca="false">IF(J2&gt;=16,"Critical",IF(J2&gt;=10,"High",IF(J2&gt;=5,"Medium","Low")))</f>
        <v>High</v>
      </c>
      <c r="L2" s="3" t="s">
        <v>24</v>
      </c>
      <c r="M2" s="4" t="n">
        <v>1</v>
      </c>
      <c r="N2" s="4" t="n">
        <v>5</v>
      </c>
      <c r="O2" s="5" t="n">
        <f aca="false">M2*N2</f>
        <v>5</v>
      </c>
      <c r="P2" s="4" t="str">
        <f aca="false">IF(O2&gt;=16,"Critical",IF(O2&gt;=10,"High",IF(O2&gt;=5,"Medium","Low")))</f>
        <v>Medium</v>
      </c>
      <c r="Q2" s="6" t="n">
        <f aca="false">(J2-O2)/J2</f>
        <v>0.666666666666667</v>
      </c>
      <c r="R2" s="3" t="s">
        <v>25</v>
      </c>
      <c r="S2" s="3" t="s">
        <v>26</v>
      </c>
    </row>
    <row r="3" customFormat="false" ht="22.35" hidden="false" customHeight="false" outlineLevel="0" collapsed="false">
      <c r="A3" s="2" t="s">
        <v>27</v>
      </c>
      <c r="B3" s="3" t="s">
        <v>28</v>
      </c>
      <c r="C3" s="3" t="s">
        <v>21</v>
      </c>
      <c r="D3" s="4" t="s">
        <v>29</v>
      </c>
      <c r="E3" s="4" t="s">
        <v>23</v>
      </c>
      <c r="F3" s="4" t="s">
        <v>23</v>
      </c>
      <c r="G3" s="4" t="s">
        <v>23</v>
      </c>
      <c r="H3" s="4" t="n">
        <v>3</v>
      </c>
      <c r="I3" s="4" t="n">
        <v>5</v>
      </c>
      <c r="J3" s="5" t="n">
        <f aca="false">H3*I3</f>
        <v>15</v>
      </c>
      <c r="K3" s="4" t="str">
        <f aca="false">IF(J3&gt;=16,"Critical",IF(J3&gt;=10,"High",IF(J3&gt;=5,"Medium","Low")))</f>
        <v>High</v>
      </c>
      <c r="L3" s="3" t="s">
        <v>30</v>
      </c>
      <c r="M3" s="4" t="n">
        <v>2</v>
      </c>
      <c r="N3" s="4" t="n">
        <v>5</v>
      </c>
      <c r="O3" s="5" t="n">
        <f aca="false">M3*N3</f>
        <v>10</v>
      </c>
      <c r="P3" s="4" t="str">
        <f aca="false">IF(O3&gt;=16,"Critical",IF(O3&gt;=10,"High",IF(O3&gt;=5,"Medium","Low")))</f>
        <v>High</v>
      </c>
      <c r="Q3" s="6" t="n">
        <f aca="false">(J3-O3)/J3</f>
        <v>0.333333333333333</v>
      </c>
      <c r="R3" s="3" t="s">
        <v>31</v>
      </c>
      <c r="S3" s="3" t="s">
        <v>32</v>
      </c>
    </row>
    <row r="4" customFormat="false" ht="22.35" hidden="false" customHeight="false" outlineLevel="0" collapsed="false">
      <c r="A4" s="2" t="s">
        <v>33</v>
      </c>
      <c r="B4" s="3" t="s">
        <v>34</v>
      </c>
      <c r="C4" s="3" t="s">
        <v>21</v>
      </c>
      <c r="D4" s="4" t="s">
        <v>29</v>
      </c>
      <c r="E4" s="4" t="s">
        <v>23</v>
      </c>
      <c r="F4" s="4"/>
      <c r="G4" s="4"/>
      <c r="H4" s="4" t="n">
        <v>2</v>
      </c>
      <c r="I4" s="4" t="n">
        <v>5</v>
      </c>
      <c r="J4" s="5" t="n">
        <f aca="false">H4*I4</f>
        <v>10</v>
      </c>
      <c r="K4" s="4" t="str">
        <f aca="false">IF(J4&gt;=16,"Critical",IF(J4&gt;=10,"High",IF(J4&gt;=5,"Medium","Low")))</f>
        <v>High</v>
      </c>
      <c r="L4" s="3" t="s">
        <v>35</v>
      </c>
      <c r="M4" s="4" t="n">
        <v>1</v>
      </c>
      <c r="N4" s="4" t="n">
        <v>4</v>
      </c>
      <c r="O4" s="5" t="n">
        <f aca="false">M4*N4</f>
        <v>4</v>
      </c>
      <c r="P4" s="4" t="str">
        <f aca="false">IF(O4&gt;=16,"Critical",IF(O4&gt;=10,"High",IF(O4&gt;=5,"Medium","Low")))</f>
        <v>Low</v>
      </c>
      <c r="Q4" s="6" t="n">
        <f aca="false">(J4-O4)/J4</f>
        <v>0.6</v>
      </c>
      <c r="R4" s="3" t="s">
        <v>25</v>
      </c>
      <c r="S4" s="3" t="s">
        <v>36</v>
      </c>
    </row>
    <row r="5" customFormat="false" ht="22.35" hidden="false" customHeight="false" outlineLevel="0" collapsed="false">
      <c r="A5" s="2" t="s">
        <v>37</v>
      </c>
      <c r="B5" s="3" t="s">
        <v>38</v>
      </c>
      <c r="C5" s="3" t="s">
        <v>21</v>
      </c>
      <c r="D5" s="4" t="s">
        <v>29</v>
      </c>
      <c r="E5" s="4" t="s">
        <v>23</v>
      </c>
      <c r="F5" s="4"/>
      <c r="G5" s="4"/>
      <c r="H5" s="4" t="n">
        <v>2</v>
      </c>
      <c r="I5" s="4" t="n">
        <v>4</v>
      </c>
      <c r="J5" s="5" t="n">
        <f aca="false">H5*I5</f>
        <v>8</v>
      </c>
      <c r="K5" s="4" t="str">
        <f aca="false">IF(J5&gt;=16,"Critical",IF(J5&gt;=10,"High",IF(J5&gt;=5,"Medium","Low")))</f>
        <v>Medium</v>
      </c>
      <c r="L5" s="3" t="s">
        <v>39</v>
      </c>
      <c r="M5" s="4" t="n">
        <v>1</v>
      </c>
      <c r="N5" s="4" t="n">
        <v>3</v>
      </c>
      <c r="O5" s="5" t="n">
        <f aca="false">M5*N5</f>
        <v>3</v>
      </c>
      <c r="P5" s="4" t="str">
        <f aca="false">IF(O5&gt;=16,"Critical",IF(O5&gt;=10,"High",IF(O5&gt;=5,"Medium","Low")))</f>
        <v>Low</v>
      </c>
      <c r="Q5" s="6" t="n">
        <f aca="false">(J5-O5)/J5</f>
        <v>0.625</v>
      </c>
      <c r="R5" s="3" t="s">
        <v>25</v>
      </c>
      <c r="S5" s="3" t="s">
        <v>40</v>
      </c>
    </row>
    <row r="6" customFormat="false" ht="22.35" hidden="false" customHeight="false" outlineLevel="0" collapsed="false">
      <c r="A6" s="2" t="s">
        <v>41</v>
      </c>
      <c r="B6" s="3" t="s">
        <v>42</v>
      </c>
      <c r="C6" s="3" t="s">
        <v>43</v>
      </c>
      <c r="D6" s="4" t="s">
        <v>44</v>
      </c>
      <c r="E6" s="4"/>
      <c r="F6" s="4" t="s">
        <v>23</v>
      </c>
      <c r="G6" s="4"/>
      <c r="H6" s="4" t="n">
        <v>3</v>
      </c>
      <c r="I6" s="4" t="n">
        <v>4</v>
      </c>
      <c r="J6" s="5" t="n">
        <f aca="false">H6*I6</f>
        <v>12</v>
      </c>
      <c r="K6" s="4" t="str">
        <f aca="false">IF(J6&gt;=16,"Critical",IF(J6&gt;=10,"High",IF(J6&gt;=5,"Medium","Low")))</f>
        <v>High</v>
      </c>
      <c r="L6" s="3" t="s">
        <v>45</v>
      </c>
      <c r="M6" s="4" t="n">
        <v>1</v>
      </c>
      <c r="N6" s="4" t="n">
        <v>4</v>
      </c>
      <c r="O6" s="5" t="n">
        <f aca="false">M6*N6</f>
        <v>4</v>
      </c>
      <c r="P6" s="4" t="str">
        <f aca="false">IF(O6&gt;=16,"Critical",IF(O6&gt;=10,"High",IF(O6&gt;=5,"Medium","Low")))</f>
        <v>Low</v>
      </c>
      <c r="Q6" s="6" t="n">
        <f aca="false">(J6-O6)/J6</f>
        <v>0.666666666666667</v>
      </c>
      <c r="R6" s="3" t="s">
        <v>25</v>
      </c>
      <c r="S6" s="3" t="s">
        <v>46</v>
      </c>
    </row>
    <row r="7" customFormat="false" ht="22.35" hidden="false" customHeight="false" outlineLevel="0" collapsed="false">
      <c r="A7" s="2" t="s">
        <v>47</v>
      </c>
      <c r="B7" s="3" t="s">
        <v>48</v>
      </c>
      <c r="C7" s="3" t="s">
        <v>49</v>
      </c>
      <c r="D7" s="4" t="s">
        <v>44</v>
      </c>
      <c r="E7" s="4" t="s">
        <v>23</v>
      </c>
      <c r="F7" s="4" t="s">
        <v>23</v>
      </c>
      <c r="G7" s="4"/>
      <c r="H7" s="4" t="n">
        <v>4</v>
      </c>
      <c r="I7" s="4" t="n">
        <v>3</v>
      </c>
      <c r="J7" s="5" t="n">
        <f aca="false">H7*I7</f>
        <v>12</v>
      </c>
      <c r="K7" s="4" t="str">
        <f aca="false">IF(J7&gt;=16,"Critical",IF(J7&gt;=10,"High",IF(J7&gt;=5,"Medium","Low")))</f>
        <v>High</v>
      </c>
      <c r="L7" s="3" t="s">
        <v>50</v>
      </c>
      <c r="M7" s="4" t="n">
        <v>3</v>
      </c>
      <c r="N7" s="4" t="n">
        <v>2</v>
      </c>
      <c r="O7" s="5" t="n">
        <f aca="false">M7*N7</f>
        <v>6</v>
      </c>
      <c r="P7" s="4" t="str">
        <f aca="false">IF(O7&gt;=16,"Critical",IF(O7&gt;=10,"High",IF(O7&gt;=5,"Medium","Low")))</f>
        <v>Medium</v>
      </c>
      <c r="Q7" s="6" t="n">
        <f aca="false">(J7-O7)/J7</f>
        <v>0.5</v>
      </c>
      <c r="R7" s="3" t="s">
        <v>25</v>
      </c>
      <c r="S7" s="3" t="s">
        <v>51</v>
      </c>
    </row>
    <row r="8" customFormat="false" ht="22.35" hidden="false" customHeight="false" outlineLevel="0" collapsed="false">
      <c r="A8" s="2" t="s">
        <v>52</v>
      </c>
      <c r="B8" s="3" t="s">
        <v>53</v>
      </c>
      <c r="C8" s="3" t="s">
        <v>49</v>
      </c>
      <c r="D8" s="4" t="s">
        <v>54</v>
      </c>
      <c r="E8" s="4" t="s">
        <v>23</v>
      </c>
      <c r="F8" s="4" t="s">
        <v>23</v>
      </c>
      <c r="G8" s="4"/>
      <c r="H8" s="4" t="n">
        <v>3</v>
      </c>
      <c r="I8" s="4" t="n">
        <v>4</v>
      </c>
      <c r="J8" s="5" t="n">
        <f aca="false">H8*I8</f>
        <v>12</v>
      </c>
      <c r="K8" s="4" t="str">
        <f aca="false">IF(J8&gt;=16,"Critical",IF(J8&gt;=10,"High",IF(J8&gt;=5,"Medium","Low")))</f>
        <v>High</v>
      </c>
      <c r="L8" s="3" t="s">
        <v>55</v>
      </c>
      <c r="M8" s="4" t="n">
        <v>2</v>
      </c>
      <c r="N8" s="4" t="n">
        <v>4</v>
      </c>
      <c r="O8" s="5" t="n">
        <f aca="false">M8*N8</f>
        <v>8</v>
      </c>
      <c r="P8" s="4" t="str">
        <f aca="false">IF(O8&gt;=16,"Critical",IF(O8&gt;=10,"High",IF(O8&gt;=5,"Medium","Low")))</f>
        <v>Medium</v>
      </c>
      <c r="Q8" s="6" t="n">
        <f aca="false">(J8-O8)/J8</f>
        <v>0.333333333333333</v>
      </c>
      <c r="R8" s="3" t="s">
        <v>25</v>
      </c>
      <c r="S8" s="3" t="s">
        <v>56</v>
      </c>
    </row>
    <row r="9" customFormat="false" ht="32.8" hidden="false" customHeight="false" outlineLevel="0" collapsed="false">
      <c r="A9" s="2" t="s">
        <v>57</v>
      </c>
      <c r="B9" s="3" t="s">
        <v>58</v>
      </c>
      <c r="C9" s="3" t="s">
        <v>59</v>
      </c>
      <c r="D9" s="4" t="s">
        <v>60</v>
      </c>
      <c r="E9" s="4" t="s">
        <v>23</v>
      </c>
      <c r="F9" s="4"/>
      <c r="G9" s="4"/>
      <c r="H9" s="4" t="n">
        <v>4</v>
      </c>
      <c r="I9" s="4" t="n">
        <v>5</v>
      </c>
      <c r="J9" s="5" t="n">
        <f aca="false">H9*I9</f>
        <v>20</v>
      </c>
      <c r="K9" s="4" t="str">
        <f aca="false">IF(J9&gt;=16,"Critical",IF(J9&gt;=10,"High",IF(J9&gt;=5,"Medium","Low")))</f>
        <v>Critical</v>
      </c>
      <c r="L9" s="3" t="s">
        <v>61</v>
      </c>
      <c r="M9" s="4" t="n">
        <v>3</v>
      </c>
      <c r="N9" s="4" t="n">
        <v>4</v>
      </c>
      <c r="O9" s="5" t="n">
        <f aca="false">M9*N9</f>
        <v>12</v>
      </c>
      <c r="P9" s="4" t="str">
        <f aca="false">IF(O9&gt;=16,"Critical",IF(O9&gt;=10,"High",IF(O9&gt;=5,"Medium","Low")))</f>
        <v>High</v>
      </c>
      <c r="Q9" s="6" t="n">
        <f aca="false">(J9-O9)/J9</f>
        <v>0.4</v>
      </c>
      <c r="R9" s="3" t="s">
        <v>62</v>
      </c>
      <c r="S9" s="3" t="s">
        <v>63</v>
      </c>
    </row>
    <row r="10" customFormat="false" ht="22.35" hidden="false" customHeight="false" outlineLevel="0" collapsed="false">
      <c r="A10" s="2" t="s">
        <v>64</v>
      </c>
      <c r="B10" s="3" t="s">
        <v>65</v>
      </c>
      <c r="C10" s="3" t="s">
        <v>66</v>
      </c>
      <c r="D10" s="4" t="s">
        <v>29</v>
      </c>
      <c r="E10" s="4" t="s">
        <v>23</v>
      </c>
      <c r="F10" s="4"/>
      <c r="G10" s="4"/>
      <c r="H10" s="4" t="n">
        <v>3</v>
      </c>
      <c r="I10" s="4" t="n">
        <v>5</v>
      </c>
      <c r="J10" s="5" t="n">
        <f aca="false">H10*I10</f>
        <v>15</v>
      </c>
      <c r="K10" s="4" t="str">
        <f aca="false">IF(J10&gt;=16,"Critical",IF(J10&gt;=10,"High",IF(J10&gt;=5,"Medium","Low")))</f>
        <v>High</v>
      </c>
      <c r="L10" s="3" t="s">
        <v>67</v>
      </c>
      <c r="M10" s="4" t="n">
        <v>1</v>
      </c>
      <c r="N10" s="4" t="n">
        <v>5</v>
      </c>
      <c r="O10" s="5" t="n">
        <f aca="false">M10*N10</f>
        <v>5</v>
      </c>
      <c r="P10" s="4" t="str">
        <f aca="false">IF(O10&gt;=16,"Critical",IF(O10&gt;=10,"High",IF(O10&gt;=5,"Medium","Low")))</f>
        <v>Medium</v>
      </c>
      <c r="Q10" s="6" t="n">
        <f aca="false">(J10-O10)/J10</f>
        <v>0.666666666666667</v>
      </c>
      <c r="R10" s="3" t="s">
        <v>25</v>
      </c>
      <c r="S10" s="3" t="s">
        <v>68</v>
      </c>
    </row>
    <row r="11" customFormat="false" ht="32.8" hidden="false" customHeight="false" outlineLevel="0" collapsed="false">
      <c r="A11" s="2" t="s">
        <v>69</v>
      </c>
      <c r="B11" s="3" t="s">
        <v>70</v>
      </c>
      <c r="C11" s="3" t="s">
        <v>71</v>
      </c>
      <c r="D11" s="4" t="s">
        <v>72</v>
      </c>
      <c r="E11" s="4"/>
      <c r="F11" s="4" t="s">
        <v>23</v>
      </c>
      <c r="G11" s="4" t="s">
        <v>23</v>
      </c>
      <c r="H11" s="4" t="n">
        <v>4</v>
      </c>
      <c r="I11" s="4" t="n">
        <v>5</v>
      </c>
      <c r="J11" s="5" t="n">
        <f aca="false">H11*I11</f>
        <v>20</v>
      </c>
      <c r="K11" s="4" t="str">
        <f aca="false">IF(J11&gt;=16,"Critical",IF(J11&gt;=10,"High",IF(J11&gt;=5,"Medium","Low")))</f>
        <v>Critical</v>
      </c>
      <c r="L11" s="3" t="s">
        <v>73</v>
      </c>
      <c r="M11" s="4" t="n">
        <v>2</v>
      </c>
      <c r="N11" s="4" t="n">
        <v>5</v>
      </c>
      <c r="O11" s="5" t="n">
        <f aca="false">M11*N11</f>
        <v>10</v>
      </c>
      <c r="P11" s="4" t="str">
        <f aca="false">IF(O11&gt;=16,"Critical",IF(O11&gt;=10,"High",IF(O11&gt;=5,"Medium","Low")))</f>
        <v>High</v>
      </c>
      <c r="Q11" s="6" t="n">
        <f aca="false">(J11-O11)/J11</f>
        <v>0.5</v>
      </c>
      <c r="R11" s="3" t="s">
        <v>25</v>
      </c>
      <c r="S11" s="3" t="s">
        <v>74</v>
      </c>
    </row>
    <row r="12" customFormat="false" ht="22.35" hidden="false" customHeight="false" outlineLevel="0" collapsed="false">
      <c r="A12" s="2" t="s">
        <v>75</v>
      </c>
      <c r="B12" s="3" t="s">
        <v>76</v>
      </c>
      <c r="C12" s="3" t="s">
        <v>77</v>
      </c>
      <c r="D12" s="4" t="s">
        <v>44</v>
      </c>
      <c r="E12" s="4"/>
      <c r="F12" s="4"/>
      <c r="G12" s="4" t="s">
        <v>23</v>
      </c>
      <c r="H12" s="4" t="n">
        <v>3</v>
      </c>
      <c r="I12" s="4" t="n">
        <v>3</v>
      </c>
      <c r="J12" s="5" t="n">
        <f aca="false">H12*I12</f>
        <v>9</v>
      </c>
      <c r="K12" s="4" t="str">
        <f aca="false">IF(J12&gt;=16,"Critical",IF(J12&gt;=10,"High",IF(J12&gt;=5,"Medium","Low")))</f>
        <v>Medium</v>
      </c>
      <c r="L12" s="3" t="s">
        <v>78</v>
      </c>
      <c r="M12" s="4" t="n">
        <v>2</v>
      </c>
      <c r="N12" s="4" t="n">
        <v>2</v>
      </c>
      <c r="O12" s="5" t="n">
        <f aca="false">M12*N12</f>
        <v>4</v>
      </c>
      <c r="P12" s="4" t="str">
        <f aca="false">IF(O12&gt;=16,"Critical",IF(O12&gt;=10,"High",IF(O12&gt;=5,"Medium","Low")))</f>
        <v>Low</v>
      </c>
      <c r="Q12" s="6" t="n">
        <f aca="false">(J12-O12)/J12</f>
        <v>0.555555555555556</v>
      </c>
      <c r="R12" s="3" t="s">
        <v>25</v>
      </c>
      <c r="S12" s="3" t="s">
        <v>79</v>
      </c>
    </row>
    <row r="13" customFormat="false" ht="22.35" hidden="false" customHeight="false" outlineLevel="0" collapsed="false">
      <c r="A13" s="2" t="s">
        <v>80</v>
      </c>
      <c r="B13" s="3" t="s">
        <v>81</v>
      </c>
      <c r="C13" s="3" t="s">
        <v>49</v>
      </c>
      <c r="D13" s="4" t="s">
        <v>44</v>
      </c>
      <c r="E13" s="4" t="s">
        <v>23</v>
      </c>
      <c r="F13" s="4"/>
      <c r="G13" s="4"/>
      <c r="H13" s="4" t="n">
        <v>4</v>
      </c>
      <c r="I13" s="4" t="n">
        <v>2</v>
      </c>
      <c r="J13" s="5" t="n">
        <f aca="false">H13*I13</f>
        <v>8</v>
      </c>
      <c r="K13" s="4" t="str">
        <f aca="false">IF(J13&gt;=16,"Critical",IF(J13&gt;=10,"High",IF(J13&gt;=5,"Medium","Low")))</f>
        <v>Medium</v>
      </c>
      <c r="L13" s="3" t="s">
        <v>82</v>
      </c>
      <c r="M13" s="4" t="n">
        <v>3</v>
      </c>
      <c r="N13" s="4" t="n">
        <v>2</v>
      </c>
      <c r="O13" s="5" t="n">
        <f aca="false">M13*N13</f>
        <v>6</v>
      </c>
      <c r="P13" s="4" t="str">
        <f aca="false">IF(O13&gt;=16,"Critical",IF(O13&gt;=10,"High",IF(O13&gt;=5,"Medium","Low")))</f>
        <v>Medium</v>
      </c>
      <c r="Q13" s="6" t="n">
        <f aca="false">(J13-O13)/J13</f>
        <v>0.25</v>
      </c>
      <c r="R13" s="3" t="s">
        <v>83</v>
      </c>
      <c r="S13" s="3" t="s">
        <v>84</v>
      </c>
    </row>
    <row r="14" customFormat="false" ht="32.8" hidden="false" customHeight="false" outlineLevel="0" collapsed="false">
      <c r="A14" s="2" t="s">
        <v>85</v>
      </c>
      <c r="B14" s="3" t="s">
        <v>86</v>
      </c>
      <c r="C14" s="3" t="s">
        <v>87</v>
      </c>
      <c r="D14" s="4" t="s">
        <v>60</v>
      </c>
      <c r="E14" s="4"/>
      <c r="F14" s="4" t="s">
        <v>23</v>
      </c>
      <c r="G14" s="4"/>
      <c r="H14" s="4" t="n">
        <v>3</v>
      </c>
      <c r="I14" s="4" t="n">
        <v>4</v>
      </c>
      <c r="J14" s="5" t="n">
        <f aca="false">H14*I14</f>
        <v>12</v>
      </c>
      <c r="K14" s="4" t="str">
        <f aca="false">IF(J14&gt;=16,"Critical",IF(J14&gt;=10,"High",IF(J14&gt;=5,"Medium","Low")))</f>
        <v>High</v>
      </c>
      <c r="L14" s="3" t="s">
        <v>88</v>
      </c>
      <c r="M14" s="4" t="n">
        <v>2</v>
      </c>
      <c r="N14" s="4" t="n">
        <v>4</v>
      </c>
      <c r="O14" s="5" t="n">
        <f aca="false">M14*N14</f>
        <v>8</v>
      </c>
      <c r="P14" s="4" t="str">
        <f aca="false">IF(O14&gt;=16,"Critical",IF(O14&gt;=10,"High",IF(O14&gt;=5,"Medium","Low")))</f>
        <v>Medium</v>
      </c>
      <c r="Q14" s="6" t="n">
        <f aca="false">(J14-O14)/J14</f>
        <v>0.333333333333333</v>
      </c>
      <c r="R14" s="3" t="s">
        <v>89</v>
      </c>
      <c r="S14" s="3" t="s">
        <v>90</v>
      </c>
    </row>
    <row r="15" customFormat="false" ht="22.35" hidden="false" customHeight="false" outlineLevel="0" collapsed="false">
      <c r="A15" s="2" t="s">
        <v>91</v>
      </c>
      <c r="B15" s="3" t="s">
        <v>92</v>
      </c>
      <c r="C15" s="3" t="s">
        <v>93</v>
      </c>
      <c r="D15" s="4" t="s">
        <v>60</v>
      </c>
      <c r="E15" s="4"/>
      <c r="F15" s="4" t="s">
        <v>23</v>
      </c>
      <c r="G15" s="4"/>
      <c r="H15" s="4" t="n">
        <v>3</v>
      </c>
      <c r="I15" s="4" t="n">
        <v>5</v>
      </c>
      <c r="J15" s="5" t="n">
        <f aca="false">H15*I15</f>
        <v>15</v>
      </c>
      <c r="K15" s="4" t="str">
        <f aca="false">IF(J15&gt;=16,"Critical",IF(J15&gt;=10,"High",IF(J15&gt;=5,"Medium","Low")))</f>
        <v>High</v>
      </c>
      <c r="L15" s="3" t="s">
        <v>94</v>
      </c>
      <c r="M15" s="4" t="n">
        <v>2</v>
      </c>
      <c r="N15" s="4" t="n">
        <v>4</v>
      </c>
      <c r="O15" s="5" t="n">
        <f aca="false">M15*N15</f>
        <v>8</v>
      </c>
      <c r="P15" s="4" t="str">
        <f aca="false">IF(O15&gt;=16,"Critical",IF(O15&gt;=10,"High",IF(O15&gt;=5,"Medium","Low")))</f>
        <v>Medium</v>
      </c>
      <c r="Q15" s="6" t="n">
        <f aca="false">(J15-O15)/J15</f>
        <v>0.466666666666667</v>
      </c>
      <c r="R15" s="3" t="s">
        <v>89</v>
      </c>
      <c r="S15" s="3" t="s">
        <v>95</v>
      </c>
    </row>
    <row r="16" customFormat="false" ht="22.35" hidden="false" customHeight="false" outlineLevel="0" collapsed="false">
      <c r="A16" s="2" t="s">
        <v>96</v>
      </c>
      <c r="B16" s="3" t="s">
        <v>97</v>
      </c>
      <c r="C16" s="3" t="s">
        <v>98</v>
      </c>
      <c r="D16" s="4" t="s">
        <v>99</v>
      </c>
      <c r="E16" s="4" t="s">
        <v>23</v>
      </c>
      <c r="F16" s="4" t="s">
        <v>23</v>
      </c>
      <c r="G16" s="4" t="s">
        <v>23</v>
      </c>
      <c r="H16" s="4" t="n">
        <v>2</v>
      </c>
      <c r="I16" s="4" t="n">
        <v>5</v>
      </c>
      <c r="J16" s="5" t="n">
        <f aca="false">H16*I16</f>
        <v>10</v>
      </c>
      <c r="K16" s="4" t="str">
        <f aca="false">IF(J16&gt;=16,"Critical",IF(J16&gt;=10,"High",IF(J16&gt;=5,"Medium","Low")))</f>
        <v>High</v>
      </c>
      <c r="L16" s="3" t="s">
        <v>100</v>
      </c>
      <c r="M16" s="4" t="n">
        <v>1</v>
      </c>
      <c r="N16" s="4" t="n">
        <v>4</v>
      </c>
      <c r="O16" s="5" t="n">
        <f aca="false">M16*N16</f>
        <v>4</v>
      </c>
      <c r="P16" s="4" t="str">
        <f aca="false">IF(O16&gt;=16,"Critical",IF(O16&gt;=10,"High",IF(O16&gt;=5,"Medium","Low")))</f>
        <v>Low</v>
      </c>
      <c r="Q16" s="6" t="n">
        <f aca="false">(J16-O16)/J16</f>
        <v>0.6</v>
      </c>
      <c r="R16" s="3" t="s">
        <v>25</v>
      </c>
      <c r="S16" s="3" t="s">
        <v>101</v>
      </c>
    </row>
    <row r="17" customFormat="false" ht="22.35" hidden="false" customHeight="false" outlineLevel="0" collapsed="false">
      <c r="A17" s="2" t="s">
        <v>102</v>
      </c>
      <c r="B17" s="3" t="s">
        <v>103</v>
      </c>
      <c r="C17" s="3" t="s">
        <v>98</v>
      </c>
      <c r="D17" s="4" t="s">
        <v>99</v>
      </c>
      <c r="E17" s="4" t="s">
        <v>23</v>
      </c>
      <c r="F17" s="4" t="s">
        <v>23</v>
      </c>
      <c r="G17" s="4" t="s">
        <v>23</v>
      </c>
      <c r="H17" s="4" t="n">
        <v>3</v>
      </c>
      <c r="I17" s="4" t="n">
        <v>4</v>
      </c>
      <c r="J17" s="5" t="n">
        <f aca="false">H17*I17</f>
        <v>12</v>
      </c>
      <c r="K17" s="4" t="str">
        <f aca="false">IF(J17&gt;=16,"Critical",IF(J17&gt;=10,"High",IF(J17&gt;=5,"Medium","Low")))</f>
        <v>High</v>
      </c>
      <c r="L17" s="3" t="s">
        <v>104</v>
      </c>
      <c r="M17" s="4" t="n">
        <v>1</v>
      </c>
      <c r="N17" s="4" t="n">
        <v>4</v>
      </c>
      <c r="O17" s="5" t="n">
        <f aca="false">M17*N17</f>
        <v>4</v>
      </c>
      <c r="P17" s="4" t="str">
        <f aca="false">IF(O17&gt;=16,"Critical",IF(O17&gt;=10,"High",IF(O17&gt;=5,"Medium","Low")))</f>
        <v>Low</v>
      </c>
      <c r="Q17" s="6" t="n">
        <f aca="false">(J17-O17)/J17</f>
        <v>0.666666666666667</v>
      </c>
      <c r="R17" s="3" t="s">
        <v>83</v>
      </c>
      <c r="S17" s="3" t="s">
        <v>105</v>
      </c>
    </row>
    <row r="18" customFormat="false" ht="22.35" hidden="false" customHeight="false" outlineLevel="0" collapsed="false">
      <c r="A18" s="2" t="s">
        <v>106</v>
      </c>
      <c r="B18" s="3" t="s">
        <v>107</v>
      </c>
      <c r="C18" s="3" t="s">
        <v>98</v>
      </c>
      <c r="D18" s="4" t="s">
        <v>108</v>
      </c>
      <c r="E18" s="4" t="s">
        <v>23</v>
      </c>
      <c r="F18" s="4" t="s">
        <v>23</v>
      </c>
      <c r="G18" s="4"/>
      <c r="H18" s="4" t="n">
        <v>3</v>
      </c>
      <c r="I18" s="4" t="n">
        <v>4</v>
      </c>
      <c r="J18" s="5" t="n">
        <f aca="false">H18*I18</f>
        <v>12</v>
      </c>
      <c r="K18" s="4" t="str">
        <f aca="false">IF(J18&gt;=16,"Critical",IF(J18&gt;=10,"High",IF(J18&gt;=5,"Medium","Low")))</f>
        <v>High</v>
      </c>
      <c r="L18" s="3" t="s">
        <v>109</v>
      </c>
      <c r="M18" s="4" t="n">
        <v>1</v>
      </c>
      <c r="N18" s="4" t="n">
        <v>4</v>
      </c>
      <c r="O18" s="5" t="n">
        <f aca="false">M18*N18</f>
        <v>4</v>
      </c>
      <c r="P18" s="4" t="str">
        <f aca="false">IF(O18&gt;=16,"Critical",IF(O18&gt;=10,"High",IF(O18&gt;=5,"Medium","Low")))</f>
        <v>Low</v>
      </c>
      <c r="Q18" s="6" t="n">
        <f aca="false">(J18-O18)/J18</f>
        <v>0.666666666666667</v>
      </c>
      <c r="R18" s="3" t="s">
        <v>25</v>
      </c>
      <c r="S18" s="3" t="s">
        <v>110</v>
      </c>
    </row>
    <row r="19" customFormat="false" ht="22.35" hidden="false" customHeight="false" outlineLevel="0" collapsed="false">
      <c r="A19" s="2" t="s">
        <v>111</v>
      </c>
      <c r="B19" s="3" t="s">
        <v>112</v>
      </c>
      <c r="C19" s="3" t="s">
        <v>113</v>
      </c>
      <c r="D19" s="4" t="s">
        <v>99</v>
      </c>
      <c r="E19" s="4" t="s">
        <v>23</v>
      </c>
      <c r="F19" s="4" t="s">
        <v>23</v>
      </c>
      <c r="G19" s="4" t="s">
        <v>23</v>
      </c>
      <c r="H19" s="4" t="n">
        <v>2</v>
      </c>
      <c r="I19" s="4" t="n">
        <v>4</v>
      </c>
      <c r="J19" s="5" t="n">
        <f aca="false">H19*I19</f>
        <v>8</v>
      </c>
      <c r="K19" s="4" t="str">
        <f aca="false">IF(J19&gt;=16,"Critical",IF(J19&gt;=10,"High",IF(J19&gt;=5,"Medium","Low")))</f>
        <v>Medium</v>
      </c>
      <c r="L19" s="3" t="s">
        <v>114</v>
      </c>
      <c r="M19" s="4" t="n">
        <v>1</v>
      </c>
      <c r="N19" s="4" t="n">
        <v>3</v>
      </c>
      <c r="O19" s="5" t="n">
        <f aca="false">M19*N19</f>
        <v>3</v>
      </c>
      <c r="P19" s="4" t="str">
        <f aca="false">IF(O19&gt;=16,"Critical",IF(O19&gt;=10,"High",IF(O19&gt;=5,"Medium","Low")))</f>
        <v>Low</v>
      </c>
      <c r="Q19" s="6" t="n">
        <f aca="false">(J19-O19)/J19</f>
        <v>0.625</v>
      </c>
      <c r="R19" s="3" t="s">
        <v>25</v>
      </c>
      <c r="S19" s="3" t="s">
        <v>115</v>
      </c>
    </row>
    <row r="20" customFormat="false" ht="22.35" hidden="false" customHeight="false" outlineLevel="0" collapsed="false">
      <c r="A20" s="2" t="s">
        <v>116</v>
      </c>
      <c r="B20" s="3" t="s">
        <v>117</v>
      </c>
      <c r="C20" s="3" t="s">
        <v>98</v>
      </c>
      <c r="D20" s="4" t="s">
        <v>72</v>
      </c>
      <c r="E20" s="4" t="s">
        <v>23</v>
      </c>
      <c r="F20" s="4"/>
      <c r="G20" s="4" t="s">
        <v>23</v>
      </c>
      <c r="H20" s="4" t="n">
        <v>3</v>
      </c>
      <c r="I20" s="4" t="n">
        <v>4</v>
      </c>
      <c r="J20" s="5" t="n">
        <f aca="false">H20*I20</f>
        <v>12</v>
      </c>
      <c r="K20" s="4" t="str">
        <f aca="false">IF(J20&gt;=16,"Critical",IF(J20&gt;=10,"High",IF(J20&gt;=5,"Medium","Low")))</f>
        <v>High</v>
      </c>
      <c r="L20" s="3" t="s">
        <v>118</v>
      </c>
      <c r="M20" s="4" t="n">
        <v>2</v>
      </c>
      <c r="N20" s="4" t="n">
        <v>3</v>
      </c>
      <c r="O20" s="5" t="n">
        <f aca="false">M20*N20</f>
        <v>6</v>
      </c>
      <c r="P20" s="4" t="str">
        <f aca="false">IF(O20&gt;=16,"Critical",IF(O20&gt;=10,"High",IF(O20&gt;=5,"Medium","Low")))</f>
        <v>Medium</v>
      </c>
      <c r="Q20" s="6" t="n">
        <f aca="false">(J20-O20)/J20</f>
        <v>0.5</v>
      </c>
      <c r="R20" s="3" t="s">
        <v>83</v>
      </c>
      <c r="S20" s="3" t="s">
        <v>119</v>
      </c>
    </row>
  </sheetData>
  <autoFilter ref="A1:S20"/>
  <conditionalFormatting sqref="K2:K20">
    <cfRule type="cellIs" priority="2" operator="equal" aboveAverage="0" equalAverage="0" bottom="0" percent="0" rank="0" text="" dxfId="20">
      <formula>"Low"</formula>
    </cfRule>
    <cfRule type="cellIs" priority="3" operator="equal" aboveAverage="0" equalAverage="0" bottom="0" percent="0" rank="0" text="" dxfId="21">
      <formula>"Medium"</formula>
    </cfRule>
    <cfRule type="cellIs" priority="4" operator="equal" aboveAverage="0" equalAverage="0" bottom="0" percent="0" rank="0" text="" dxfId="22">
      <formula>"High"</formula>
    </cfRule>
    <cfRule type="cellIs" priority="5" operator="equal" aboveAverage="0" equalAverage="0" bottom="0" percent="0" rank="0" text="" dxfId="23">
      <formula>"Critical"</formula>
    </cfRule>
  </conditionalFormatting>
  <conditionalFormatting sqref="P2:P20">
    <cfRule type="cellIs" priority="6" operator="equal" aboveAverage="0" equalAverage="0" bottom="0" percent="0" rank="0" text="" dxfId="20">
      <formula>"Low"</formula>
    </cfRule>
    <cfRule type="cellIs" priority="7" operator="equal" aboveAverage="0" equalAverage="0" bottom="0" percent="0" rank="0" text="" dxfId="21">
      <formula>"Medium"</formula>
    </cfRule>
    <cfRule type="cellIs" priority="8" operator="equal" aboveAverage="0" equalAverage="0" bottom="0" percent="0" rank="0" text="" dxfId="22">
      <formula>"High"</formula>
    </cfRule>
    <cfRule type="cellIs" priority="9" operator="equal" aboveAverage="0" equalAverage="0" bottom="0" percent="0" rank="0" text="" dxfId="23">
      <formula>"Critical"</formula>
    </cfRule>
  </conditionalFormatting>
  <conditionalFormatting sqref="J2:J20">
    <cfRule type="colorScale" priority="10">
      <colorScale>
        <cfvo type="num" val="1"/>
        <cfvo type="num" val="9"/>
        <cfvo type="num" val="25"/>
        <color rgb="FFC6EFCE"/>
        <color rgb="FFFFEB9C"/>
        <color rgb="FFFFC7CE"/>
      </colorScale>
    </cfRule>
  </conditionalFormatting>
  <conditionalFormatting sqref="O2:O20">
    <cfRule type="colorScale" priority="11">
      <colorScale>
        <cfvo type="num" val="1"/>
        <cfvo type="num" val="9"/>
        <cfvo type="num" val="25"/>
        <color rgb="FFC6EFCE"/>
        <color rgb="FFFFEB9C"/>
        <color rgb="FFFFC7CE"/>
      </colorScale>
    </cfRule>
  </conditionalFormatting>
  <dataValidations count="2">
    <dataValidation allowBlank="false" error="Enter a value 1-5" errorStyle="stop" errorTitle="Out of range" operator="between" showDropDown="false" showErrorMessage="false" showInputMessage="false" sqref="H2:I20 M2:N20" type="list">
      <formula1>"1,2,3,4,5"</formula1>
      <formula2>0</formula2>
    </dataValidation>
    <dataValidation allowBlank="true" errorStyle="stop" operator="between" showDropDown="false" showErrorMessage="false" showInputMessage="false" sqref="E2:G2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6"/>
  </cols>
  <sheetData>
    <row r="1" customFormat="false" ht="17.35" hidden="false" customHeight="false" outlineLevel="0" collapsed="false">
      <c r="A1" s="7" t="s">
        <v>120</v>
      </c>
    </row>
    <row r="3" customFormat="false" ht="23.85" hidden="false" customHeight="false" outlineLevel="0" collapsed="false">
      <c r="A3" s="8" t="s">
        <v>121</v>
      </c>
      <c r="B3" s="8" t="s">
        <v>122</v>
      </c>
    </row>
    <row r="5" customFormat="false" ht="15" hidden="false" customHeight="false" outlineLevel="0" collapsed="false">
      <c r="A5" s="9" t="s">
        <v>123</v>
      </c>
      <c r="B5" s="9"/>
    </row>
    <row r="6" customFormat="false" ht="15" hidden="false" customHeight="false" outlineLevel="0" collapsed="false">
      <c r="A6" s="8" t="s">
        <v>124</v>
      </c>
      <c r="B6" s="8" t="s">
        <v>125</v>
      </c>
    </row>
    <row r="7" customFormat="false" ht="15" hidden="false" customHeight="false" outlineLevel="0" collapsed="false">
      <c r="A7" s="8" t="s">
        <v>126</v>
      </c>
      <c r="B7" s="8" t="s">
        <v>127</v>
      </c>
    </row>
    <row r="8" customFormat="false" ht="15" hidden="false" customHeight="false" outlineLevel="0" collapsed="false">
      <c r="A8" s="8" t="s">
        <v>128</v>
      </c>
      <c r="B8" s="8" t="s">
        <v>129</v>
      </c>
    </row>
    <row r="9" customFormat="false" ht="15" hidden="false" customHeight="false" outlineLevel="0" collapsed="false">
      <c r="A9" s="8" t="s">
        <v>130</v>
      </c>
      <c r="B9" s="8" t="s">
        <v>131</v>
      </c>
    </row>
    <row r="10" customFormat="false" ht="15" hidden="false" customHeight="false" outlineLevel="0" collapsed="false">
      <c r="A10" s="8" t="s">
        <v>132</v>
      </c>
      <c r="B10" s="8" t="s">
        <v>133</v>
      </c>
    </row>
    <row r="12" customFormat="false" ht="15" hidden="false" customHeight="false" outlineLevel="0" collapsed="false">
      <c r="A12" s="9" t="s">
        <v>134</v>
      </c>
      <c r="B12" s="9"/>
    </row>
    <row r="13" customFormat="false" ht="15" hidden="false" customHeight="false" outlineLevel="0" collapsed="false">
      <c r="A13" s="8" t="s">
        <v>135</v>
      </c>
      <c r="B13" s="8" t="s">
        <v>136</v>
      </c>
    </row>
    <row r="14" customFormat="false" ht="15" hidden="false" customHeight="false" outlineLevel="0" collapsed="false">
      <c r="A14" s="8" t="s">
        <v>137</v>
      </c>
      <c r="B14" s="8" t="s">
        <v>138</v>
      </c>
    </row>
    <row r="15" customFormat="false" ht="15" hidden="false" customHeight="false" outlineLevel="0" collapsed="false">
      <c r="A15" s="8" t="s">
        <v>139</v>
      </c>
      <c r="B15" s="8" t="s">
        <v>140</v>
      </c>
    </row>
    <row r="16" customFormat="false" ht="15" hidden="false" customHeight="false" outlineLevel="0" collapsed="false">
      <c r="A16" s="8" t="s">
        <v>141</v>
      </c>
      <c r="B16" s="8" t="s">
        <v>142</v>
      </c>
    </row>
    <row r="17" customFormat="false" ht="15" hidden="false" customHeight="false" outlineLevel="0" collapsed="false">
      <c r="A17" s="8" t="s">
        <v>143</v>
      </c>
      <c r="B17" s="8" t="s">
        <v>144</v>
      </c>
    </row>
    <row r="19" customFormat="false" ht="15" hidden="false" customHeight="false" outlineLevel="0" collapsed="false">
      <c r="A19" s="9" t="s">
        <v>145</v>
      </c>
      <c r="B19" s="9"/>
    </row>
    <row r="20" customFormat="false" ht="15" hidden="false" customHeight="false" outlineLevel="0" collapsed="false">
      <c r="A20" s="10" t="s">
        <v>146</v>
      </c>
      <c r="B20" s="8" t="s">
        <v>147</v>
      </c>
    </row>
    <row r="21" customFormat="false" ht="15" hidden="false" customHeight="false" outlineLevel="0" collapsed="false">
      <c r="A21" s="10" t="s">
        <v>148</v>
      </c>
      <c r="B21" s="8" t="s">
        <v>149</v>
      </c>
    </row>
    <row r="22" customFormat="false" ht="15" hidden="false" customHeight="false" outlineLevel="0" collapsed="false">
      <c r="A22" s="10" t="s">
        <v>150</v>
      </c>
      <c r="B22" s="8" t="s">
        <v>151</v>
      </c>
    </row>
    <row r="23" customFormat="false" ht="15" hidden="false" customHeight="false" outlineLevel="0" collapsed="false">
      <c r="A23" s="10" t="s">
        <v>152</v>
      </c>
      <c r="B23" s="8" t="s">
        <v>153</v>
      </c>
    </row>
    <row r="25" customFormat="false" ht="15" hidden="false" customHeight="false" outlineLevel="0" collapsed="false">
      <c r="A25" s="9" t="s">
        <v>154</v>
      </c>
      <c r="B25" s="9"/>
    </row>
    <row r="26" customFormat="false" ht="35.05" hidden="false" customHeight="false" outlineLevel="0" collapsed="false">
      <c r="A26" s="8" t="s">
        <v>155</v>
      </c>
      <c r="B26" s="8" t="s">
        <v>156</v>
      </c>
    </row>
    <row r="28" customFormat="false" ht="15" hidden="false" customHeight="false" outlineLevel="0" collapsed="false">
      <c r="A28" s="9" t="s">
        <v>157</v>
      </c>
      <c r="B28" s="9"/>
    </row>
    <row r="29" customFormat="false" ht="35.05" hidden="false" customHeight="false" outlineLevel="0" collapsed="false">
      <c r="A29" s="8" t="s">
        <v>158</v>
      </c>
      <c r="B29" s="8" t="s">
        <v>159</v>
      </c>
    </row>
    <row r="31" customFormat="false" ht="15" hidden="false" customHeight="false" outlineLevel="0" collapsed="false">
      <c r="A31" s="9" t="s">
        <v>160</v>
      </c>
      <c r="B31" s="9"/>
    </row>
    <row r="32" customFormat="false" ht="15" hidden="false" customHeight="false" outlineLevel="0" collapsed="false">
      <c r="A32" s="10" t="s">
        <v>83</v>
      </c>
      <c r="B32" s="8" t="s">
        <v>161</v>
      </c>
    </row>
    <row r="33" customFormat="false" ht="15" hidden="false" customHeight="false" outlineLevel="0" collapsed="false">
      <c r="A33" s="10" t="s">
        <v>25</v>
      </c>
      <c r="B33" s="8" t="s">
        <v>162</v>
      </c>
    </row>
    <row r="34" customFormat="false" ht="15" hidden="false" customHeight="false" outlineLevel="0" collapsed="false">
      <c r="A34" s="10" t="s">
        <v>62</v>
      </c>
      <c r="B34" s="8" t="s">
        <v>163</v>
      </c>
    </row>
    <row r="35" customFormat="false" ht="23.85" hidden="false" customHeight="false" outlineLevel="0" collapsed="false">
      <c r="A35" s="10" t="s">
        <v>89</v>
      </c>
      <c r="B35" s="8" t="s">
        <v>164</v>
      </c>
    </row>
    <row r="36" customFormat="false" ht="15" hidden="false" customHeight="false" outlineLevel="0" collapsed="false">
      <c r="A36" s="10" t="s">
        <v>31</v>
      </c>
      <c r="B36" s="8" t="s">
        <v>165</v>
      </c>
    </row>
    <row r="39" customFormat="false" ht="60" hidden="false" customHeight="true" outlineLevel="0" collapsed="false">
      <c r="A39" s="11" t="s">
        <v>166</v>
      </c>
      <c r="B39" s="11"/>
    </row>
  </sheetData>
  <mergeCells count="7">
    <mergeCell ref="A5:B5"/>
    <mergeCell ref="A12:B12"/>
    <mergeCell ref="A19:B19"/>
    <mergeCell ref="A25:B25"/>
    <mergeCell ref="A28:B28"/>
    <mergeCell ref="A31:B31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2026-07-21T07:38:10Z</dcterms:created>
  <dc:creator>openpyxl</dc:creator>
  <dc:description/>
  <dc:language>en-US</dc:language>
  <cp:lastModifiedBy/>
  <dcterms:modified xsi:type="dcterms:W3CDTF">2026-07-21T07:38:10Z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